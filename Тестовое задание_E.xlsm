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filterPrivacy="1" codeName="ЭтаКнига"/>
  <xr:revisionPtr revIDLastSave="0" documentId="13_ncr:1_{BBF5ADD5-B4BC-4F69-A482-A7E95FCCCC1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штат" sheetId="1" r:id="rId1"/>
    <sheet name="сентябрь 2023" sheetId="20" r:id="rId2"/>
    <sheet name="январь 2023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26" i="20" l="1"/>
  <c r="AL8" i="20"/>
  <c r="AL15" i="20"/>
  <c r="AL20" i="20"/>
  <c r="AL24" i="20"/>
  <c r="AL25" i="20"/>
  <c r="AK25" i="20"/>
  <c r="AJ25" i="20"/>
  <c r="AI25" i="20"/>
  <c r="AL23" i="20"/>
  <c r="AK23" i="20"/>
  <c r="AJ23" i="20"/>
  <c r="AI23" i="20"/>
  <c r="AL22" i="20"/>
  <c r="AK22" i="20"/>
  <c r="AJ22" i="20"/>
  <c r="AI22" i="20"/>
  <c r="AL21" i="20"/>
  <c r="AK21" i="20"/>
  <c r="AJ21" i="20"/>
  <c r="AI21" i="20"/>
  <c r="AL19" i="20"/>
  <c r="AK19" i="20"/>
  <c r="AJ19" i="20"/>
  <c r="AI19" i="20"/>
  <c r="AL18" i="20"/>
  <c r="AK18" i="20"/>
  <c r="AJ18" i="20"/>
  <c r="AI18" i="20"/>
  <c r="AL17" i="20"/>
  <c r="AK17" i="20"/>
  <c r="AJ17" i="20"/>
  <c r="AI17" i="20"/>
  <c r="AL16" i="20"/>
  <c r="AK16" i="20"/>
  <c r="AJ16" i="20"/>
  <c r="AI16" i="20"/>
  <c r="AL14" i="20"/>
  <c r="AK14" i="20"/>
  <c r="AJ14" i="20"/>
  <c r="AI14" i="20"/>
  <c r="AL13" i="20"/>
  <c r="AK13" i="20"/>
  <c r="AJ13" i="20"/>
  <c r="AI13" i="20"/>
  <c r="AL12" i="20"/>
  <c r="AK12" i="20"/>
  <c r="AJ12" i="20"/>
  <c r="AI12" i="20"/>
  <c r="AL11" i="20"/>
  <c r="AK11" i="20"/>
  <c r="AJ11" i="20"/>
  <c r="AI11" i="20"/>
  <c r="AL10" i="20"/>
  <c r="AK10" i="20"/>
  <c r="AJ10" i="20"/>
  <c r="AI10" i="20"/>
  <c r="AL9" i="20"/>
  <c r="AK9" i="20"/>
  <c r="AJ9" i="20"/>
  <c r="AI9" i="20"/>
</calcChain>
</file>

<file path=xl/sharedStrings.xml><?xml version="1.0" encoding="utf-8"?>
<sst xmlns="http://schemas.openxmlformats.org/spreadsheetml/2006/main" count="266" uniqueCount="73">
  <si>
    <t>ФИО</t>
  </si>
  <si>
    <t>Таб. №</t>
  </si>
  <si>
    <t>Отдел</t>
  </si>
  <si>
    <t>Должность</t>
  </si>
  <si>
    <t>ЧТС руб/час</t>
  </si>
  <si>
    <t>а1</t>
  </si>
  <si>
    <t>а2</t>
  </si>
  <si>
    <t>а3</t>
  </si>
  <si>
    <t>а4</t>
  </si>
  <si>
    <t>а5</t>
  </si>
  <si>
    <t>а6</t>
  </si>
  <si>
    <t>Иванов И.И.</t>
  </si>
  <si>
    <t>Петров П.П.</t>
  </si>
  <si>
    <t>Сидоров С.С.</t>
  </si>
  <si>
    <t>Львов Н.Г.</t>
  </si>
  <si>
    <t>Зайцев И.Д.</t>
  </si>
  <si>
    <t>Константинов К.К.</t>
  </si>
  <si>
    <t>б1</t>
  </si>
  <si>
    <t>б2</t>
  </si>
  <si>
    <t>б3</t>
  </si>
  <si>
    <t>б4</t>
  </si>
  <si>
    <t>б5</t>
  </si>
  <si>
    <t>б6</t>
  </si>
  <si>
    <t>Липов П.А.</t>
  </si>
  <si>
    <t>Лосев Д.Л.</t>
  </si>
  <si>
    <t>Дмитров Л.А.</t>
  </si>
  <si>
    <t>Кошкин К.П.</t>
  </si>
  <si>
    <t>Нилов Е.К.</t>
  </si>
  <si>
    <t>Киров Е.П.</t>
  </si>
  <si>
    <t>Отдел развития</t>
  </si>
  <si>
    <t>Отдел разработки</t>
  </si>
  <si>
    <t>нач. отдела</t>
  </si>
  <si>
    <t>программист</t>
  </si>
  <si>
    <t>бухгалтер</t>
  </si>
  <si>
    <t>аналитик</t>
  </si>
  <si>
    <t>тестировщик</t>
  </si>
  <si>
    <t>месяц</t>
  </si>
  <si>
    <t>год</t>
  </si>
  <si>
    <t>1. Лист штат - исходные данные для построения табеля учета рабочего времени.</t>
  </si>
  <si>
    <t>ИТОГО</t>
  </si>
  <si>
    <t>январь</t>
  </si>
  <si>
    <t>Вт</t>
  </si>
  <si>
    <t>Ср</t>
  </si>
  <si>
    <t>Чт</t>
  </si>
  <si>
    <t>Пт</t>
  </si>
  <si>
    <t>Сб</t>
  </si>
  <si>
    <t>Вс</t>
  </si>
  <si>
    <t>Пн</t>
  </si>
  <si>
    <t>пр</t>
  </si>
  <si>
    <t>в</t>
  </si>
  <si>
    <t>Дней отработано</t>
  </si>
  <si>
    <t>Зар. Плата</t>
  </si>
  <si>
    <t>2. январь 2023 - пример табеля, который должен получиться в результате работы макроса.</t>
  </si>
  <si>
    <t>4. В табеле должны расставляться дни, дни недели, определяться и выделяться цветом выходные и праздничные дни</t>
  </si>
  <si>
    <t>Должны присутствовать суммы по отделам и итоговая сумма</t>
  </si>
  <si>
    <t>3. Год, месяц, штат, кол-о отделов могут меняться.</t>
  </si>
  <si>
    <t>Часов в будни</t>
  </si>
  <si>
    <t>Часов в вых</t>
  </si>
  <si>
    <t>Также должна быть прописаны формулы в расчетных столбцах: отработано часов в будни, часов в вых, отработано дней, заработная плата</t>
  </si>
  <si>
    <t>Заработная плата складывается по след формуле: часы в будни*чтс + часы в вых*чтс*1,5</t>
  </si>
  <si>
    <t>Задача:</t>
  </si>
  <si>
    <t>Задача должна быть реализована на VBA, макрос прикрепить к кнопке ПОСТРОИТЬ ТАБЕЛЬ</t>
  </si>
  <si>
    <t>Кактусов Е.П.</t>
  </si>
  <si>
    <t>б7</t>
  </si>
  <si>
    <t>Отдел маркетинга</t>
  </si>
  <si>
    <t>менеджер</t>
  </si>
  <si>
    <t>Пронин Е.В.</t>
  </si>
  <si>
    <t>б8</t>
  </si>
  <si>
    <t>Отдел финансов</t>
  </si>
  <si>
    <t>Часов в вых.</t>
  </si>
  <si>
    <t>Дней отраб.</t>
  </si>
  <si>
    <t>Зар. плат.</t>
  </si>
  <si>
    <t>сентябрь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</si>
</sst>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CDCC"/>
        <bgColor indexed="64"/>
      </patternFill>
    </fill>
    <fill>
      <patternFill patternType="solid">
        <fgColor rgb="FFD9D9D9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3" borderId="1" xfId="0" applyFont="1" applyFill="1" applyBorder="1"/>
    <xf numFmtId="0" fontId="0" fillId="4" borderId="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left" vertical="center"/>
    </xf>
    <xf numFmtId="0" fontId="0" fillId="0" borderId="2" xfId="0" applyBorder="1"/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0" borderId="7" xfId="0" applyBorder="1"/>
    <xf numFmtId="0" fontId="1" fillId="3" borderId="7" xfId="0" applyFont="1" applyFill="1" applyBorder="1"/>
    <xf numFmtId="0" fontId="0" fillId="2" borderId="6" xfId="0" applyFill="1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6" xfId="0" applyFill="1" applyBorder="1"/>
    <xf numFmtId="0" fontId="1" fillId="0" borderId="0" xfId="0" applyFont="1" applyBorder="1"/>
    <xf numFmtId="0" fontId="0" fillId="4" borderId="7" xfId="0" applyFill="1" applyBorder="1" applyAlignment="1">
      <alignment horizontal="center" vertical="center"/>
    </xf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2" borderId="15" xfId="0" applyFill="1" applyBorder="1"/>
    <xf numFmtId="0" fontId="0" fillId="0" borderId="16" xfId="0" applyBorder="1"/>
    <xf numFmtId="0" fontId="0" fillId="2" borderId="17" xfId="0" applyFill="1" applyBorder="1"/>
    <xf numFmtId="0" fontId="0" fillId="2" borderId="18" xfId="0" applyFill="1" applyBorder="1"/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0" fillId="3" borderId="21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5" xfId="0" applyBorder="1"/>
    <xf numFmtId="0" fontId="0" fillId="0" borderId="17" xfId="0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4" borderId="20" xfId="0" applyFill="1" applyBorder="1" applyAlignment="1">
      <alignment wrapText="1"/>
    </xf>
    <xf numFmtId="0" fontId="0" fillId="4" borderId="3" xfId="0" applyFill="1" applyBorder="1" applyAlignment="1">
      <alignment wrapText="1"/>
    </xf>
    <xf numFmtId="0" fontId="0" fillId="4" borderId="4" xfId="0" applyFill="1" applyBorder="1" applyAlignment="1">
      <alignment vertical="center" wrapText="1"/>
    </xf>
    <xf numFmtId="0" fontId="0" fillId="4" borderId="0" xfId="0" applyFill="1" applyBorder="1" applyAlignment="1">
      <alignment wrapText="1"/>
    </xf>
    <xf numFmtId="0" fontId="0" fillId="3" borderId="27" xfId="0" applyFill="1" applyBorder="1"/>
    <xf numFmtId="0" fontId="0" fillId="3" borderId="23" xfId="0" applyFill="1" applyBorder="1"/>
    <xf numFmtId="0" fontId="0" fillId="0" borderId="28" xfId="0" applyBorder="1"/>
    <xf numFmtId="14" fontId="0" fillId="0" borderId="0" xfId="0" applyNumberFormat="1"/>
    <xf numFmtId="0" fontId="0" fillId="0" borderId="0" xfId="0" applyNumberFormat="1"/>
    <xf numFmtId="0" fontId="0" fillId="2" borderId="1" xfId="0" applyFill="1" applyBorder="1" applyAlignment="1">
      <alignment horizontal="center" vertical="center"/>
    </xf>
    <xf numFmtId="0" fontId="0" fillId="0" borderId="5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2" xfId="0" applyBorder="1" applyAlignment="1">
      <alignment horizontal="left"/>
    </xf>
    <xf numFmtId="0" fontId="0" fillId="0" borderId="0" xfId="0" applyAlignment="1"/>
    <xf numFmtId="0" fontId="0" fillId="5" borderId="5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13" xfId="0" applyBorder="1" applyAlignment="1"/>
    <xf numFmtId="0" fontId="1" fillId="6" borderId="13" xfId="0" applyFont="1" applyFill="1" applyBorder="1" applyAlignment="1">
      <alignment vertical="center"/>
    </xf>
    <xf numFmtId="0" fontId="0" fillId="7" borderId="0" xfId="0" applyFill="1" applyAlignment="1"/>
    <xf numFmtId="0" fontId="0" fillId="7" borderId="13" xfId="0" applyFill="1" applyBorder="1" applyAlignment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66675</xdr:rowOff>
    </xdr:from>
    <xdr:to>
      <xdr:col>10</xdr:col>
      <xdr:colOff>419100</xdr:colOff>
      <xdr:row>1</xdr:row>
      <xdr:rowOff>161925</xdr:rowOff>
    </xdr:to>
    <xdr:sp macro="[0]!renderData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AEF3ED16-93E2-4984-914B-D84A086E019F}"/>
            </a:ext>
          </a:extLst>
        </xdr:cNvPr>
        <xdr:cNvSpPr/>
      </xdr:nvSpPr>
      <xdr:spPr>
        <a:xfrm>
          <a:off x="8496300" y="66675"/>
          <a:ext cx="1533525" cy="3143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ПОСТРОИТЬ ТАБЕЛЬ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16"/>
  <sheetViews>
    <sheetView workbookViewId="0">
      <pane ySplit="2" topLeftCell="A3" activePane="bottomLeft" state="frozen"/>
      <selection pane="bottomLeft" activeCell="H1" sqref="H1"/>
    </sheetView>
  </sheetViews>
  <sheetFormatPr defaultRowHeight="15" x14ac:dyDescent="0.25"/>
  <cols>
    <col min="2" max="2" width="25.42578125" customWidth="1"/>
    <col min="3" max="3" width="27.5703125" customWidth="1"/>
    <col min="4" max="4" width="26" customWidth="1"/>
    <col min="5" max="5" width="13.42578125" customWidth="1"/>
    <col min="6" max="6" width="4.7109375" customWidth="1"/>
    <col min="8" max="8" width="10.42578125" customWidth="1"/>
  </cols>
  <sheetData>
    <row r="1" spans="1:8" ht="17.25" customHeight="1" x14ac:dyDescent="0.25">
      <c r="A1" s="56" t="s">
        <v>1</v>
      </c>
      <c r="B1" s="56" t="s">
        <v>0</v>
      </c>
      <c r="C1" s="56" t="s">
        <v>2</v>
      </c>
      <c r="D1" s="56" t="s">
        <v>3</v>
      </c>
      <c r="E1" s="56" t="s">
        <v>4</v>
      </c>
      <c r="G1" s="5" t="s">
        <v>36</v>
      </c>
      <c r="H1" s="6" t="s">
        <v>72</v>
      </c>
    </row>
    <row r="2" spans="1:8" ht="17.25" customHeight="1" x14ac:dyDescent="0.25">
      <c r="A2" s="56"/>
      <c r="B2" s="56"/>
      <c r="C2" s="56"/>
      <c r="D2" s="56"/>
      <c r="E2" s="56"/>
      <c r="G2" s="5" t="s">
        <v>37</v>
      </c>
      <c r="H2" s="6">
        <v>2023</v>
      </c>
    </row>
    <row r="3" spans="1:8" x14ac:dyDescent="0.25">
      <c r="A3" s="1" t="s">
        <v>5</v>
      </c>
      <c r="B3" s="1" t="s">
        <v>11</v>
      </c>
      <c r="C3" s="1" t="s">
        <v>29</v>
      </c>
      <c r="D3" s="1" t="s">
        <v>31</v>
      </c>
      <c r="E3" s="1">
        <v>1000</v>
      </c>
    </row>
    <row r="4" spans="1:8" x14ac:dyDescent="0.25">
      <c r="A4" s="1" t="s">
        <v>6</v>
      </c>
      <c r="B4" s="1" t="s">
        <v>12</v>
      </c>
      <c r="C4" s="1" t="s">
        <v>29</v>
      </c>
      <c r="D4" s="1" t="s">
        <v>32</v>
      </c>
      <c r="E4" s="1">
        <v>600</v>
      </c>
    </row>
    <row r="5" spans="1:8" x14ac:dyDescent="0.25">
      <c r="A5" s="1" t="s">
        <v>7</v>
      </c>
      <c r="B5" s="1" t="s">
        <v>13</v>
      </c>
      <c r="C5" s="1" t="s">
        <v>29</v>
      </c>
      <c r="D5" s="1" t="s">
        <v>32</v>
      </c>
      <c r="E5" s="1">
        <v>600</v>
      </c>
    </row>
    <row r="6" spans="1:8" x14ac:dyDescent="0.25">
      <c r="A6" s="1" t="s">
        <v>8</v>
      </c>
      <c r="B6" s="1" t="s">
        <v>14</v>
      </c>
      <c r="C6" s="1" t="s">
        <v>29</v>
      </c>
      <c r="D6" s="1" t="s">
        <v>33</v>
      </c>
      <c r="E6" s="1">
        <v>700</v>
      </c>
      <c r="G6" t="s">
        <v>60</v>
      </c>
    </row>
    <row r="7" spans="1:8" x14ac:dyDescent="0.25">
      <c r="A7" s="1" t="s">
        <v>9</v>
      </c>
      <c r="B7" s="1" t="s">
        <v>15</v>
      </c>
      <c r="C7" s="1" t="s">
        <v>29</v>
      </c>
      <c r="D7" s="1" t="s">
        <v>34</v>
      </c>
      <c r="E7" s="1">
        <v>500</v>
      </c>
      <c r="G7" t="s">
        <v>38</v>
      </c>
    </row>
    <row r="8" spans="1:8" x14ac:dyDescent="0.25">
      <c r="A8" s="1" t="s">
        <v>10</v>
      </c>
      <c r="B8" s="1" t="s">
        <v>16</v>
      </c>
      <c r="C8" s="1" t="s">
        <v>29</v>
      </c>
      <c r="D8" s="1" t="s">
        <v>35</v>
      </c>
      <c r="E8" s="1">
        <v>400</v>
      </c>
      <c r="G8" t="s">
        <v>52</v>
      </c>
    </row>
    <row r="9" spans="1:8" x14ac:dyDescent="0.25">
      <c r="A9" s="1" t="s">
        <v>17</v>
      </c>
      <c r="B9" s="1" t="s">
        <v>23</v>
      </c>
      <c r="C9" s="1" t="s">
        <v>30</v>
      </c>
      <c r="D9" s="1" t="s">
        <v>31</v>
      </c>
      <c r="E9" s="1">
        <v>1000</v>
      </c>
      <c r="G9" t="s">
        <v>55</v>
      </c>
    </row>
    <row r="10" spans="1:8" x14ac:dyDescent="0.25">
      <c r="A10" s="1" t="s">
        <v>18</v>
      </c>
      <c r="B10" s="1" t="s">
        <v>24</v>
      </c>
      <c r="C10" s="1" t="s">
        <v>30</v>
      </c>
      <c r="D10" s="1" t="s">
        <v>32</v>
      </c>
      <c r="E10" s="1">
        <v>600</v>
      </c>
      <c r="G10" t="s">
        <v>53</v>
      </c>
    </row>
    <row r="11" spans="1:8" x14ac:dyDescent="0.25">
      <c r="A11" s="1" t="s">
        <v>19</v>
      </c>
      <c r="B11" s="1" t="s">
        <v>25</v>
      </c>
      <c r="C11" s="1" t="s">
        <v>30</v>
      </c>
      <c r="D11" s="1" t="s">
        <v>32</v>
      </c>
      <c r="E11" s="1">
        <v>600</v>
      </c>
      <c r="G11" t="s">
        <v>58</v>
      </c>
    </row>
    <row r="12" spans="1:8" x14ac:dyDescent="0.25">
      <c r="A12" s="1" t="s">
        <v>20</v>
      </c>
      <c r="B12" s="1" t="s">
        <v>26</v>
      </c>
      <c r="C12" s="1" t="s">
        <v>30</v>
      </c>
      <c r="D12" s="1" t="s">
        <v>32</v>
      </c>
      <c r="E12" s="1">
        <v>600</v>
      </c>
      <c r="G12" t="s">
        <v>54</v>
      </c>
    </row>
    <row r="13" spans="1:8" x14ac:dyDescent="0.25">
      <c r="A13" s="1" t="s">
        <v>21</v>
      </c>
      <c r="B13" s="1" t="s">
        <v>27</v>
      </c>
      <c r="C13" s="1" t="s">
        <v>68</v>
      </c>
      <c r="D13" s="1" t="s">
        <v>33</v>
      </c>
      <c r="E13" s="1">
        <v>700</v>
      </c>
      <c r="G13" t="s">
        <v>59</v>
      </c>
    </row>
    <row r="14" spans="1:8" x14ac:dyDescent="0.25">
      <c r="A14" s="1" t="s">
        <v>22</v>
      </c>
      <c r="B14" s="1" t="s">
        <v>28</v>
      </c>
      <c r="C14" s="1" t="s">
        <v>30</v>
      </c>
      <c r="D14" s="1" t="s">
        <v>34</v>
      </c>
      <c r="E14" s="1">
        <v>500</v>
      </c>
      <c r="G14" t="s">
        <v>61</v>
      </c>
    </row>
    <row r="15" spans="1:8" x14ac:dyDescent="0.25">
      <c r="A15" s="1" t="s">
        <v>63</v>
      </c>
      <c r="B15" s="1" t="s">
        <v>62</v>
      </c>
      <c r="C15" s="1" t="s">
        <v>30</v>
      </c>
      <c r="D15" s="1" t="s">
        <v>34</v>
      </c>
      <c r="E15" s="1">
        <v>500</v>
      </c>
    </row>
    <row r="16" spans="1:8" x14ac:dyDescent="0.25">
      <c r="A16" s="1" t="s">
        <v>67</v>
      </c>
      <c r="B16" s="1" t="s">
        <v>66</v>
      </c>
      <c r="C16" s="1" t="s">
        <v>64</v>
      </c>
      <c r="D16" s="1" t="s">
        <v>65</v>
      </c>
      <c r="E16" s="1">
        <v>300</v>
      </c>
    </row>
  </sheetData>
  <mergeCells count="5">
    <mergeCell ref="A1:A2"/>
    <mergeCell ref="B1:B2"/>
    <mergeCell ref="C1:C2"/>
    <mergeCell ref="D1:D2"/>
    <mergeCell ref="E1:E2"/>
  </mergeCells>
  <dataValidations count="2">
    <dataValidation type="list" allowBlank="1" showInputMessage="1" showErrorMessage="1" sqref="H1" xr:uid="{DF896CAA-362F-4BB6-AEE4-38CFD48E8A42}">
      <formula1>"январь,март,апрель,май,июнь,июль,август,сентябрь,октябрь,декабр"</formula1>
    </dataValidation>
    <dataValidation type="list" allowBlank="1" showInputMessage="1" showErrorMessage="1" sqref="H2" xr:uid="{D1058479-ACCB-4B04-A2F0-BC3FB3A55BB6}">
      <formula1>"2023,2024,2025"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6E4B1-3F2B-49DB-8A03-1F692EF19DDB}">
  <sheetPr codeName="Лист15"/>
  <dimension ref="A2:AL26"/>
  <sheetViews>
    <sheetView tabSelected="1" zoomScale="80" zoomScaleNormal="80" workbookViewId="0"/>
  </sheetViews>
  <sheetFormatPr defaultRowHeight="15" x14ac:dyDescent="0.25"/>
  <cols>
    <col min="2" max="3" width="22.7109375" customWidth="1"/>
    <col min="4" max="4" width="13.7109375" customWidth="1"/>
  </cols>
  <sheetData>
    <row r="2" spans="1:38" x14ac:dyDescent="0.25">
      <c r="B2" t="s">
        <v>36</v>
      </c>
      <c r="C2" s="61" t="s">
        <v>72</v>
      </c>
    </row>
    <row r="3" spans="1:38" x14ac:dyDescent="0.25">
      <c r="B3" t="s">
        <v>37</v>
      </c>
      <c r="C3" s="13">
        <v>2023</v>
      </c>
      <c r="D3" s="54"/>
    </row>
    <row r="4" spans="1:38" x14ac:dyDescent="0.25">
      <c r="F4" t="s">
        <v>49</v>
      </c>
      <c r="G4" t="s">
        <v>49</v>
      </c>
      <c r="M4" t="s">
        <v>49</v>
      </c>
      <c r="N4" t="s">
        <v>49</v>
      </c>
      <c r="T4" t="s">
        <v>49</v>
      </c>
      <c r="U4" t="s">
        <v>49</v>
      </c>
      <c r="AA4" t="s">
        <v>49</v>
      </c>
      <c r="AB4" t="s">
        <v>49</v>
      </c>
      <c r="AH4" t="s">
        <v>49</v>
      </c>
    </row>
    <row r="5" spans="1:38" x14ac:dyDescent="0.25">
      <c r="A5" s="63" t="s">
        <v>1</v>
      </c>
      <c r="B5" s="63" t="s">
        <v>0</v>
      </c>
      <c r="C5" s="63" t="s">
        <v>3</v>
      </c>
      <c r="D5" s="63" t="s">
        <v>4</v>
      </c>
      <c r="E5" s="55" t="s">
        <v>44</v>
      </c>
      <c r="F5" s="55" t="s">
        <v>45</v>
      </c>
      <c r="G5" s="55" t="s">
        <v>46</v>
      </c>
      <c r="H5" s="55" t="s">
        <v>47</v>
      </c>
      <c r="I5" s="55" t="s">
        <v>41</v>
      </c>
      <c r="J5" s="55" t="s">
        <v>42</v>
      </c>
      <c r="K5" s="55" t="s">
        <v>43</v>
      </c>
      <c r="L5" s="55" t="s">
        <v>44</v>
      </c>
      <c r="M5" s="55" t="s">
        <v>45</v>
      </c>
      <c r="N5" s="55" t="s">
        <v>46</v>
      </c>
      <c r="O5" s="55" t="s">
        <v>47</v>
      </c>
      <c r="P5" s="55" t="s">
        <v>41</v>
      </c>
      <c r="Q5" s="55" t="s">
        <v>42</v>
      </c>
      <c r="R5" s="55" t="s">
        <v>43</v>
      </c>
      <c r="S5" s="55" t="s">
        <v>44</v>
      </c>
      <c r="T5" s="55" t="s">
        <v>45</v>
      </c>
      <c r="U5" s="55" t="s">
        <v>46</v>
      </c>
      <c r="V5" s="55" t="s">
        <v>47</v>
      </c>
      <c r="W5" s="55" t="s">
        <v>41</v>
      </c>
      <c r="X5" s="55" t="s">
        <v>42</v>
      </c>
      <c r="Y5" s="55" t="s">
        <v>43</v>
      </c>
      <c r="Z5" s="55" t="s">
        <v>44</v>
      </c>
      <c r="AA5" s="55" t="s">
        <v>45</v>
      </c>
      <c r="AB5" s="55" t="s">
        <v>46</v>
      </c>
      <c r="AC5" s="55" t="s">
        <v>47</v>
      </c>
      <c r="AD5" s="55" t="s">
        <v>41</v>
      </c>
      <c r="AE5" s="55" t="s">
        <v>42</v>
      </c>
      <c r="AF5" s="55" t="s">
        <v>43</v>
      </c>
      <c r="AG5" s="55" t="s">
        <v>44</v>
      </c>
      <c r="AH5" s="55" t="s">
        <v>45</v>
      </c>
      <c r="AI5" t="s">
        <v>56</v>
      </c>
      <c r="AJ5" t="s">
        <v>69</v>
      </c>
      <c r="AK5" t="s">
        <v>70</v>
      </c>
      <c r="AL5" t="s">
        <v>71</v>
      </c>
    </row>
    <row r="6" spans="1:38" x14ac:dyDescent="0.25">
      <c r="A6" s="64"/>
      <c r="B6" s="64"/>
      <c r="C6" s="64"/>
      <c r="D6" s="64"/>
      <c r="E6">
        <v>1</v>
      </c>
      <c r="F6">
        <v>2</v>
      </c>
      <c r="G6">
        <v>3</v>
      </c>
      <c r="H6">
        <v>4</v>
      </c>
      <c r="I6">
        <v>5</v>
      </c>
      <c r="J6">
        <v>6</v>
      </c>
      <c r="K6">
        <v>7</v>
      </c>
      <c r="L6">
        <v>8</v>
      </c>
      <c r="M6">
        <v>9</v>
      </c>
      <c r="N6">
        <v>10</v>
      </c>
      <c r="O6">
        <v>11</v>
      </c>
      <c r="P6">
        <v>12</v>
      </c>
      <c r="Q6">
        <v>13</v>
      </c>
      <c r="R6">
        <v>14</v>
      </c>
      <c r="S6">
        <v>15</v>
      </c>
      <c r="T6">
        <v>16</v>
      </c>
      <c r="U6">
        <v>17</v>
      </c>
      <c r="V6">
        <v>18</v>
      </c>
      <c r="W6">
        <v>19</v>
      </c>
      <c r="X6">
        <v>20</v>
      </c>
      <c r="Y6">
        <v>21</v>
      </c>
      <c r="Z6">
        <v>22</v>
      </c>
      <c r="AA6">
        <v>23</v>
      </c>
      <c r="AB6">
        <v>24</v>
      </c>
      <c r="AC6">
        <v>25</v>
      </c>
      <c r="AD6">
        <v>26</v>
      </c>
      <c r="AE6">
        <v>27</v>
      </c>
      <c r="AF6">
        <v>28</v>
      </c>
      <c r="AG6">
        <v>29</v>
      </c>
      <c r="AH6">
        <v>30</v>
      </c>
    </row>
    <row r="7" spans="1:38" ht="18" customHeight="1" x14ac:dyDescent="0.25">
      <c r="A7" s="66" t="s">
        <v>39</v>
      </c>
      <c r="B7" s="66"/>
      <c r="C7" s="66"/>
      <c r="D7" s="66"/>
    </row>
    <row r="8" spans="1:38" x14ac:dyDescent="0.25">
      <c r="A8" s="67" t="s">
        <v>29</v>
      </c>
      <c r="B8" s="62"/>
      <c r="C8" s="62"/>
      <c r="D8" s="62"/>
      <c r="AL8">
        <f>SUM(,$AL$14,$AL$13,$AL$12,$AL$11,$AL$10,$AL$9)</f>
        <v>638400</v>
      </c>
    </row>
    <row r="9" spans="1:38" x14ac:dyDescent="0.25">
      <c r="A9" s="1" t="s">
        <v>5</v>
      </c>
      <c r="B9" s="1" t="s">
        <v>11</v>
      </c>
      <c r="C9" s="1" t="s">
        <v>31</v>
      </c>
      <c r="D9" s="1">
        <v>1000</v>
      </c>
      <c r="E9">
        <v>8</v>
      </c>
      <c r="H9">
        <v>8</v>
      </c>
      <c r="I9">
        <v>8</v>
      </c>
      <c r="J9">
        <v>8</v>
      </c>
      <c r="K9">
        <v>8</v>
      </c>
      <c r="L9">
        <v>8</v>
      </c>
      <c r="O9">
        <v>8</v>
      </c>
      <c r="P9">
        <v>8</v>
      </c>
      <c r="Q9">
        <v>8</v>
      </c>
      <c r="R9">
        <v>8</v>
      </c>
      <c r="S9">
        <v>8</v>
      </c>
      <c r="V9">
        <v>8</v>
      </c>
      <c r="W9">
        <v>8</v>
      </c>
      <c r="X9">
        <v>8</v>
      </c>
      <c r="Y9">
        <v>8</v>
      </c>
      <c r="Z9">
        <v>8</v>
      </c>
      <c r="AC9">
        <v>8</v>
      </c>
      <c r="AD9">
        <v>8</v>
      </c>
      <c r="AE9">
        <v>8</v>
      </c>
      <c r="AF9">
        <v>8</v>
      </c>
      <c r="AG9">
        <v>8</v>
      </c>
      <c r="AI9">
        <f>SUM(,$E$9,$H$9,$I$9,$J$9,$K$9,$L$9,$O$9,$P$9,$Q$9,$R$9,$S$9,$V$9,$W$9,$X$9,$Y$9,$Z$9,$AC$9,$AD$9,$AE$9,$AF$9,$AG$9)</f>
        <v>168</v>
      </c>
      <c r="AJ9">
        <f>SUM(,$F$9,$G$9,$M$9,$N$9,$T$9,$U$9,$AA$9,$AB$9,$AH$9)</f>
        <v>0</v>
      </c>
      <c r="AK9">
        <f>SUM(AI9:AJ9) / 8</f>
        <v>21</v>
      </c>
      <c r="AL9">
        <f>(AI9 * 1000) + (AJ9 * 1000 * 1.5 )</f>
        <v>168000</v>
      </c>
    </row>
    <row r="10" spans="1:38" x14ac:dyDescent="0.25">
      <c r="A10" s="1" t="s">
        <v>6</v>
      </c>
      <c r="B10" s="1" t="s">
        <v>12</v>
      </c>
      <c r="C10" s="1" t="s">
        <v>32</v>
      </c>
      <c r="D10" s="1">
        <v>600</v>
      </c>
      <c r="E10">
        <v>8</v>
      </c>
      <c r="H10">
        <v>8</v>
      </c>
      <c r="I10">
        <v>8</v>
      </c>
      <c r="J10">
        <v>8</v>
      </c>
      <c r="K10">
        <v>8</v>
      </c>
      <c r="L10">
        <v>8</v>
      </c>
      <c r="O10">
        <v>8</v>
      </c>
      <c r="P10">
        <v>8</v>
      </c>
      <c r="Q10">
        <v>8</v>
      </c>
      <c r="R10">
        <v>8</v>
      </c>
      <c r="S10">
        <v>8</v>
      </c>
      <c r="V10">
        <v>8</v>
      </c>
      <c r="W10">
        <v>8</v>
      </c>
      <c r="X10">
        <v>8</v>
      </c>
      <c r="Y10">
        <v>8</v>
      </c>
      <c r="Z10">
        <v>8</v>
      </c>
      <c r="AC10">
        <v>8</v>
      </c>
      <c r="AD10">
        <v>8</v>
      </c>
      <c r="AE10">
        <v>8</v>
      </c>
      <c r="AF10">
        <v>8</v>
      </c>
      <c r="AG10">
        <v>8</v>
      </c>
      <c r="AI10">
        <f>SUM(,$E$10,$H$10,$I$10,$J$10,$K$10,$L$10,$O$10,$P$10,$Q$10,$R$10,$S$10,$V$10,$W$10,$X$10,$Y$10,$Z$10,$AC$10,$AD$10,$AE$10,$AF$10,$AG$10)</f>
        <v>168</v>
      </c>
      <c r="AJ10">
        <f>SUM(,$F$10,$G$10,$M$10,$N$10,$T$10,$U$10,$AA$10,$AB$10,$AH$10)</f>
        <v>0</v>
      </c>
      <c r="AK10">
        <f>SUM(AI10:AJ10) / 8</f>
        <v>21</v>
      </c>
      <c r="AL10">
        <f>(AI10 * 600) + (AJ10 * 600 * 1.5 )</f>
        <v>100800</v>
      </c>
    </row>
    <row r="11" spans="1:38" x14ac:dyDescent="0.25">
      <c r="A11" s="1" t="s">
        <v>7</v>
      </c>
      <c r="B11" s="1" t="s">
        <v>13</v>
      </c>
      <c r="C11" s="1" t="s">
        <v>32</v>
      </c>
      <c r="D11" s="1">
        <v>600</v>
      </c>
      <c r="E11">
        <v>8</v>
      </c>
      <c r="H11">
        <v>8</v>
      </c>
      <c r="I11">
        <v>8</v>
      </c>
      <c r="J11">
        <v>8</v>
      </c>
      <c r="K11">
        <v>8</v>
      </c>
      <c r="L11">
        <v>8</v>
      </c>
      <c r="O11">
        <v>8</v>
      </c>
      <c r="P11">
        <v>8</v>
      </c>
      <c r="Q11">
        <v>8</v>
      </c>
      <c r="R11">
        <v>8</v>
      </c>
      <c r="S11">
        <v>8</v>
      </c>
      <c r="V11">
        <v>8</v>
      </c>
      <c r="W11">
        <v>8</v>
      </c>
      <c r="X11">
        <v>8</v>
      </c>
      <c r="Y11">
        <v>8</v>
      </c>
      <c r="Z11">
        <v>8</v>
      </c>
      <c r="AC11">
        <v>8</v>
      </c>
      <c r="AD11">
        <v>8</v>
      </c>
      <c r="AE11">
        <v>8</v>
      </c>
      <c r="AF11">
        <v>8</v>
      </c>
      <c r="AG11">
        <v>8</v>
      </c>
      <c r="AI11">
        <f>SUM(,$E$11,$H$11,$I$11,$J$11,$K$11,$L$11,$O$11,$P$11,$Q$11,$R$11,$S$11,$V$11,$W$11,$X$11,$Y$11,$Z$11,$AC$11,$AD$11,$AE$11,$AF$11,$AG$11)</f>
        <v>168</v>
      </c>
      <c r="AJ11">
        <f>SUM(,$F$11,$G$11,$M$11,$N$11,$T$11,$U$11,$AA$11,$AB$11,$AH$11)</f>
        <v>0</v>
      </c>
      <c r="AK11">
        <f>SUM(AI11:AJ11) / 8</f>
        <v>21</v>
      </c>
      <c r="AL11">
        <f>(AI11 * 600) + (AJ11 * 600 * 1.5 )</f>
        <v>100800</v>
      </c>
    </row>
    <row r="12" spans="1:38" x14ac:dyDescent="0.25">
      <c r="A12" s="1" t="s">
        <v>8</v>
      </c>
      <c r="B12" s="1" t="s">
        <v>14</v>
      </c>
      <c r="C12" s="1" t="s">
        <v>33</v>
      </c>
      <c r="D12" s="1">
        <v>700</v>
      </c>
      <c r="E12">
        <v>8</v>
      </c>
      <c r="H12">
        <v>8</v>
      </c>
      <c r="I12">
        <v>8</v>
      </c>
      <c r="J12">
        <v>8</v>
      </c>
      <c r="K12">
        <v>8</v>
      </c>
      <c r="L12">
        <v>8</v>
      </c>
      <c r="O12">
        <v>8</v>
      </c>
      <c r="P12">
        <v>8</v>
      </c>
      <c r="Q12">
        <v>8</v>
      </c>
      <c r="R12">
        <v>8</v>
      </c>
      <c r="S12">
        <v>8</v>
      </c>
      <c r="V12">
        <v>8</v>
      </c>
      <c r="W12">
        <v>8</v>
      </c>
      <c r="X12">
        <v>8</v>
      </c>
      <c r="Y12">
        <v>8</v>
      </c>
      <c r="Z12">
        <v>8</v>
      </c>
      <c r="AC12">
        <v>8</v>
      </c>
      <c r="AD12">
        <v>8</v>
      </c>
      <c r="AE12">
        <v>8</v>
      </c>
      <c r="AF12">
        <v>8</v>
      </c>
      <c r="AG12">
        <v>8</v>
      </c>
      <c r="AI12">
        <f>SUM(,$E$12,$H$12,$I$12,$J$12,$K$12,$L$12,$O$12,$P$12,$Q$12,$R$12,$S$12,$V$12,$W$12,$X$12,$Y$12,$Z$12,$AC$12,$AD$12,$AE$12,$AF$12,$AG$12)</f>
        <v>168</v>
      </c>
      <c r="AJ12">
        <f>SUM(,$F$12,$G$12,$M$12,$N$12,$T$12,$U$12,$AA$12,$AB$12,$AH$12)</f>
        <v>0</v>
      </c>
      <c r="AK12">
        <f>SUM(AI12:AJ12) / 8</f>
        <v>21</v>
      </c>
      <c r="AL12">
        <f>(AI12 * 700) + (AJ12 * 700 * 1.5 )</f>
        <v>117600</v>
      </c>
    </row>
    <row r="13" spans="1:38" x14ac:dyDescent="0.25">
      <c r="A13" s="1" t="s">
        <v>9</v>
      </c>
      <c r="B13" s="1" t="s">
        <v>15</v>
      </c>
      <c r="C13" s="1" t="s">
        <v>34</v>
      </c>
      <c r="D13" s="1">
        <v>500</v>
      </c>
      <c r="E13">
        <v>8</v>
      </c>
      <c r="H13">
        <v>8</v>
      </c>
      <c r="I13">
        <v>8</v>
      </c>
      <c r="J13">
        <v>8</v>
      </c>
      <c r="K13">
        <v>8</v>
      </c>
      <c r="L13">
        <v>8</v>
      </c>
      <c r="O13">
        <v>8</v>
      </c>
      <c r="P13">
        <v>8</v>
      </c>
      <c r="Q13">
        <v>8</v>
      </c>
      <c r="R13">
        <v>8</v>
      </c>
      <c r="S13">
        <v>8</v>
      </c>
      <c r="V13">
        <v>8</v>
      </c>
      <c r="W13">
        <v>8</v>
      </c>
      <c r="X13">
        <v>8</v>
      </c>
      <c r="Y13">
        <v>8</v>
      </c>
      <c r="Z13">
        <v>8</v>
      </c>
      <c r="AC13">
        <v>8</v>
      </c>
      <c r="AD13">
        <v>8</v>
      </c>
      <c r="AE13">
        <v>8</v>
      </c>
      <c r="AF13">
        <v>8</v>
      </c>
      <c r="AG13">
        <v>8</v>
      </c>
      <c r="AI13">
        <f>SUM(,$E$13,$H$13,$I$13,$J$13,$K$13,$L$13,$O$13,$P$13,$Q$13,$R$13,$S$13,$V$13,$W$13,$X$13,$Y$13,$Z$13,$AC$13,$AD$13,$AE$13,$AF$13,$AG$13)</f>
        <v>168</v>
      </c>
      <c r="AJ13">
        <f>SUM(,$F$13,$G$13,$M$13,$N$13,$T$13,$U$13,$AA$13,$AB$13,$AH$13)</f>
        <v>0</v>
      </c>
      <c r="AK13">
        <f>SUM(AI13:AJ13) / 8</f>
        <v>21</v>
      </c>
      <c r="AL13">
        <f>(AI13 * 500) + (AJ13 * 500 * 1.5 )</f>
        <v>84000</v>
      </c>
    </row>
    <row r="14" spans="1:38" x14ac:dyDescent="0.25">
      <c r="A14" s="1" t="s">
        <v>10</v>
      </c>
      <c r="B14" s="1" t="s">
        <v>16</v>
      </c>
      <c r="C14" s="1" t="s">
        <v>35</v>
      </c>
      <c r="D14" s="1">
        <v>400</v>
      </c>
      <c r="E14">
        <v>8</v>
      </c>
      <c r="H14">
        <v>8</v>
      </c>
      <c r="I14">
        <v>8</v>
      </c>
      <c r="J14">
        <v>8</v>
      </c>
      <c r="K14">
        <v>8</v>
      </c>
      <c r="L14">
        <v>8</v>
      </c>
      <c r="O14">
        <v>8</v>
      </c>
      <c r="P14">
        <v>8</v>
      </c>
      <c r="Q14">
        <v>8</v>
      </c>
      <c r="R14">
        <v>8</v>
      </c>
      <c r="S14">
        <v>8</v>
      </c>
      <c r="V14">
        <v>8</v>
      </c>
      <c r="W14">
        <v>8</v>
      </c>
      <c r="X14">
        <v>8</v>
      </c>
      <c r="Y14">
        <v>8</v>
      </c>
      <c r="Z14">
        <v>8</v>
      </c>
      <c r="AC14">
        <v>8</v>
      </c>
      <c r="AD14">
        <v>8</v>
      </c>
      <c r="AE14">
        <v>8</v>
      </c>
      <c r="AF14">
        <v>8</v>
      </c>
      <c r="AG14">
        <v>8</v>
      </c>
      <c r="AI14">
        <f>SUM(,$E$14,$H$14,$I$14,$J$14,$K$14,$L$14,$O$14,$P$14,$Q$14,$R$14,$S$14,$V$14,$W$14,$X$14,$Y$14,$Z$14,$AC$14,$AD$14,$AE$14,$AF$14,$AG$14)</f>
        <v>168</v>
      </c>
      <c r="AJ14">
        <f>SUM(,$F$14,$G$14,$M$14,$N$14,$T$14,$U$14,$AA$14,$AB$14,$AH$14)</f>
        <v>0</v>
      </c>
      <c r="AK14">
        <f>SUM(AI14:AJ14) / 8</f>
        <v>21</v>
      </c>
      <c r="AL14">
        <f>(AI14 * 400) + (AJ14 * 400 * 1.5 )</f>
        <v>67200</v>
      </c>
    </row>
    <row r="15" spans="1:38" x14ac:dyDescent="0.25">
      <c r="A15" s="68" t="s">
        <v>30</v>
      </c>
      <c r="B15" s="65"/>
      <c r="C15" s="65"/>
      <c r="D15" s="65"/>
      <c r="AL15">
        <f>SUM(,$AL$19,$AL$18,$AL$17,$AL$16)</f>
        <v>470400</v>
      </c>
    </row>
    <row r="16" spans="1:38" x14ac:dyDescent="0.25">
      <c r="A16" s="1" t="s">
        <v>17</v>
      </c>
      <c r="B16" s="1" t="s">
        <v>23</v>
      </c>
      <c r="C16" s="1" t="s">
        <v>31</v>
      </c>
      <c r="D16" s="1">
        <v>1000</v>
      </c>
      <c r="E16">
        <v>8</v>
      </c>
      <c r="H16">
        <v>8</v>
      </c>
      <c r="I16">
        <v>8</v>
      </c>
      <c r="J16">
        <v>8</v>
      </c>
      <c r="K16">
        <v>8</v>
      </c>
      <c r="L16">
        <v>8</v>
      </c>
      <c r="O16">
        <v>8</v>
      </c>
      <c r="P16">
        <v>8</v>
      </c>
      <c r="Q16">
        <v>8</v>
      </c>
      <c r="R16">
        <v>8</v>
      </c>
      <c r="S16">
        <v>8</v>
      </c>
      <c r="V16">
        <v>8</v>
      </c>
      <c r="W16">
        <v>8</v>
      </c>
      <c r="X16">
        <v>8</v>
      </c>
      <c r="Y16">
        <v>8</v>
      </c>
      <c r="Z16">
        <v>8</v>
      </c>
      <c r="AC16">
        <v>8</v>
      </c>
      <c r="AD16">
        <v>8</v>
      </c>
      <c r="AE16">
        <v>8</v>
      </c>
      <c r="AF16">
        <v>8</v>
      </c>
      <c r="AG16">
        <v>8</v>
      </c>
      <c r="AI16">
        <f>SUM(,$E$16,$H$16,$I$16,$J$16,$K$16,$L$16,$O$16,$P$16,$Q$16,$R$16,$S$16,$V$16,$W$16,$X$16,$Y$16,$Z$16,$AC$16,$AD$16,$AE$16,$AF$16,$AG$16)</f>
        <v>168</v>
      </c>
      <c r="AJ16">
        <f>SUM(,$F$16,$G$16,$M$16,$N$16,$T$16,$U$16,$AA$16,$AB$16,$AH$16)</f>
        <v>0</v>
      </c>
      <c r="AK16">
        <f>SUM(AI16:AJ16) / 8</f>
        <v>21</v>
      </c>
      <c r="AL16">
        <f>(AI16 * 1000) + (AJ16 * 1000 * 1.5 )</f>
        <v>168000</v>
      </c>
    </row>
    <row r="17" spans="1:38" x14ac:dyDescent="0.25">
      <c r="A17" s="1" t="s">
        <v>18</v>
      </c>
      <c r="B17" s="1" t="s">
        <v>24</v>
      </c>
      <c r="C17" s="1" t="s">
        <v>32</v>
      </c>
      <c r="D17" s="1">
        <v>600</v>
      </c>
      <c r="E17">
        <v>8</v>
      </c>
      <c r="H17">
        <v>8</v>
      </c>
      <c r="I17">
        <v>8</v>
      </c>
      <c r="J17">
        <v>8</v>
      </c>
      <c r="K17">
        <v>8</v>
      </c>
      <c r="L17">
        <v>8</v>
      </c>
      <c r="O17">
        <v>8</v>
      </c>
      <c r="P17">
        <v>8</v>
      </c>
      <c r="Q17">
        <v>8</v>
      </c>
      <c r="R17">
        <v>8</v>
      </c>
      <c r="S17">
        <v>8</v>
      </c>
      <c r="V17">
        <v>8</v>
      </c>
      <c r="W17">
        <v>8</v>
      </c>
      <c r="X17">
        <v>8</v>
      </c>
      <c r="Y17">
        <v>8</v>
      </c>
      <c r="Z17">
        <v>8</v>
      </c>
      <c r="AC17">
        <v>8</v>
      </c>
      <c r="AD17">
        <v>8</v>
      </c>
      <c r="AE17">
        <v>8</v>
      </c>
      <c r="AF17">
        <v>8</v>
      </c>
      <c r="AG17">
        <v>8</v>
      </c>
      <c r="AI17">
        <f>SUM(,$E$17,$H$17,$I$17,$J$17,$K$17,$L$17,$O$17,$P$17,$Q$17,$R$17,$S$17,$V$17,$W$17,$X$17,$Y$17,$Z$17,$AC$17,$AD$17,$AE$17,$AF$17,$AG$17)</f>
        <v>168</v>
      </c>
      <c r="AJ17">
        <f>SUM(,$F$17,$G$17,$M$17,$N$17,$T$17,$U$17,$AA$17,$AB$17,$AH$17)</f>
        <v>0</v>
      </c>
      <c r="AK17">
        <f>SUM(AI17:AJ17) / 8</f>
        <v>21</v>
      </c>
      <c r="AL17">
        <f>(AI17 * 600) + (AJ17 * 600 * 1.5 )</f>
        <v>100800</v>
      </c>
    </row>
    <row r="18" spans="1:38" x14ac:dyDescent="0.25">
      <c r="A18" s="1" t="s">
        <v>19</v>
      </c>
      <c r="B18" s="1" t="s">
        <v>25</v>
      </c>
      <c r="C18" s="1" t="s">
        <v>32</v>
      </c>
      <c r="D18" s="1">
        <v>600</v>
      </c>
      <c r="E18">
        <v>8</v>
      </c>
      <c r="H18">
        <v>8</v>
      </c>
      <c r="I18">
        <v>8</v>
      </c>
      <c r="J18">
        <v>8</v>
      </c>
      <c r="K18">
        <v>8</v>
      </c>
      <c r="L18">
        <v>8</v>
      </c>
      <c r="O18">
        <v>8</v>
      </c>
      <c r="P18">
        <v>8</v>
      </c>
      <c r="Q18">
        <v>8</v>
      </c>
      <c r="R18">
        <v>8</v>
      </c>
      <c r="S18">
        <v>8</v>
      </c>
      <c r="V18">
        <v>8</v>
      </c>
      <c r="W18">
        <v>8</v>
      </c>
      <c r="X18">
        <v>8</v>
      </c>
      <c r="Y18">
        <v>8</v>
      </c>
      <c r="Z18">
        <v>8</v>
      </c>
      <c r="AC18">
        <v>8</v>
      </c>
      <c r="AD18">
        <v>8</v>
      </c>
      <c r="AE18">
        <v>8</v>
      </c>
      <c r="AF18">
        <v>8</v>
      </c>
      <c r="AG18">
        <v>8</v>
      </c>
      <c r="AI18">
        <f>SUM(,$E$18,$H$18,$I$18,$J$18,$K$18,$L$18,$O$18,$P$18,$Q$18,$R$18,$S$18,$V$18,$W$18,$X$18,$Y$18,$Z$18,$AC$18,$AD$18,$AE$18,$AF$18,$AG$18)</f>
        <v>168</v>
      </c>
      <c r="AJ18">
        <f>SUM(,$F$18,$G$18,$M$18,$N$18,$T$18,$U$18,$AA$18,$AB$18,$AH$18)</f>
        <v>0</v>
      </c>
      <c r="AK18">
        <f>SUM(AI18:AJ18) / 8</f>
        <v>21</v>
      </c>
      <c r="AL18">
        <f>(AI18 * 600) + (AJ18 * 600 * 1.5 )</f>
        <v>100800</v>
      </c>
    </row>
    <row r="19" spans="1:38" x14ac:dyDescent="0.25">
      <c r="A19" s="1" t="s">
        <v>20</v>
      </c>
      <c r="B19" s="1" t="s">
        <v>26</v>
      </c>
      <c r="C19" s="1" t="s">
        <v>32</v>
      </c>
      <c r="D19" s="1">
        <v>600</v>
      </c>
      <c r="E19">
        <v>8</v>
      </c>
      <c r="H19">
        <v>8</v>
      </c>
      <c r="I19">
        <v>8</v>
      </c>
      <c r="J19">
        <v>8</v>
      </c>
      <c r="K19">
        <v>8</v>
      </c>
      <c r="L19">
        <v>8</v>
      </c>
      <c r="O19">
        <v>8</v>
      </c>
      <c r="P19">
        <v>8</v>
      </c>
      <c r="Q19">
        <v>8</v>
      </c>
      <c r="R19">
        <v>8</v>
      </c>
      <c r="S19">
        <v>8</v>
      </c>
      <c r="V19">
        <v>8</v>
      </c>
      <c r="W19">
        <v>8</v>
      </c>
      <c r="X19">
        <v>8</v>
      </c>
      <c r="Y19">
        <v>8</v>
      </c>
      <c r="Z19">
        <v>8</v>
      </c>
      <c r="AC19">
        <v>8</v>
      </c>
      <c r="AD19">
        <v>8</v>
      </c>
      <c r="AE19">
        <v>8</v>
      </c>
      <c r="AF19">
        <v>8</v>
      </c>
      <c r="AG19">
        <v>8</v>
      </c>
      <c r="AI19">
        <f>SUM(,$E$19,$H$19,$I$19,$J$19,$K$19,$L$19,$O$19,$P$19,$Q$19,$R$19,$S$19,$V$19,$W$19,$X$19,$Y$19,$Z$19,$AC$19,$AD$19,$AE$19,$AF$19,$AG$19)</f>
        <v>168</v>
      </c>
      <c r="AJ19">
        <f>SUM(,$F$19,$G$19,$M$19,$N$19,$T$19,$U$19,$AA$19,$AB$19,$AH$19)</f>
        <v>0</v>
      </c>
      <c r="AK19">
        <f>SUM(AI19:AJ19) / 8</f>
        <v>21</v>
      </c>
      <c r="AL19">
        <f>(AI19 * 600) + (AJ19 * 600 * 1.5 )</f>
        <v>100800</v>
      </c>
    </row>
    <row r="20" spans="1:38" x14ac:dyDescent="0.25">
      <c r="A20" s="68" t="s">
        <v>68</v>
      </c>
      <c r="B20" s="65"/>
      <c r="C20" s="65"/>
      <c r="D20" s="65"/>
      <c r="AL20">
        <f>SUM(,$AL$23,$AL$22,$AL$21)</f>
        <v>285600</v>
      </c>
    </row>
    <row r="21" spans="1:38" x14ac:dyDescent="0.25">
      <c r="A21" s="1" t="s">
        <v>21</v>
      </c>
      <c r="B21" s="1" t="s">
        <v>27</v>
      </c>
      <c r="C21" s="1" t="s">
        <v>33</v>
      </c>
      <c r="D21" s="1">
        <v>700</v>
      </c>
      <c r="E21">
        <v>8</v>
      </c>
      <c r="H21">
        <v>8</v>
      </c>
      <c r="I21">
        <v>8</v>
      </c>
      <c r="J21">
        <v>8</v>
      </c>
      <c r="K21">
        <v>8</v>
      </c>
      <c r="L21">
        <v>8</v>
      </c>
      <c r="O21">
        <v>8</v>
      </c>
      <c r="P21">
        <v>8</v>
      </c>
      <c r="Q21">
        <v>8</v>
      </c>
      <c r="R21">
        <v>8</v>
      </c>
      <c r="S21">
        <v>8</v>
      </c>
      <c r="V21">
        <v>8</v>
      </c>
      <c r="W21">
        <v>8</v>
      </c>
      <c r="X21">
        <v>8</v>
      </c>
      <c r="Y21">
        <v>8</v>
      </c>
      <c r="Z21">
        <v>8</v>
      </c>
      <c r="AC21">
        <v>8</v>
      </c>
      <c r="AD21">
        <v>8</v>
      </c>
      <c r="AE21">
        <v>8</v>
      </c>
      <c r="AF21">
        <v>8</v>
      </c>
      <c r="AG21">
        <v>8</v>
      </c>
      <c r="AI21">
        <f>SUM(,$E$21,$H$21,$I$21,$J$21,$K$21,$L$21,$O$21,$P$21,$Q$21,$R$21,$S$21,$V$21,$W$21,$X$21,$Y$21,$Z$21,$AC$21,$AD$21,$AE$21,$AF$21,$AG$21)</f>
        <v>168</v>
      </c>
      <c r="AJ21">
        <f>SUM(,$F$21,$G$21,$M$21,$N$21,$T$21,$U$21,$AA$21,$AB$21,$AH$21)</f>
        <v>0</v>
      </c>
      <c r="AK21">
        <f>SUM(AI21:AJ21) / 8</f>
        <v>21</v>
      </c>
      <c r="AL21">
        <f>(AI21 * 700) + (AJ21 * 700 * 1.5 )</f>
        <v>117600</v>
      </c>
    </row>
    <row r="22" spans="1:38" x14ac:dyDescent="0.25">
      <c r="A22" s="1" t="s">
        <v>22</v>
      </c>
      <c r="B22" s="1" t="s">
        <v>28</v>
      </c>
      <c r="C22" s="1" t="s">
        <v>34</v>
      </c>
      <c r="D22" s="1">
        <v>500</v>
      </c>
      <c r="E22">
        <v>8</v>
      </c>
      <c r="H22">
        <v>8</v>
      </c>
      <c r="I22">
        <v>8</v>
      </c>
      <c r="J22">
        <v>8</v>
      </c>
      <c r="K22">
        <v>8</v>
      </c>
      <c r="L22">
        <v>8</v>
      </c>
      <c r="O22">
        <v>8</v>
      </c>
      <c r="P22">
        <v>8</v>
      </c>
      <c r="Q22">
        <v>8</v>
      </c>
      <c r="R22">
        <v>8</v>
      </c>
      <c r="S22">
        <v>8</v>
      </c>
      <c r="V22">
        <v>8</v>
      </c>
      <c r="W22">
        <v>8</v>
      </c>
      <c r="X22">
        <v>8</v>
      </c>
      <c r="Y22">
        <v>8</v>
      </c>
      <c r="Z22">
        <v>8</v>
      </c>
      <c r="AC22">
        <v>8</v>
      </c>
      <c r="AD22">
        <v>8</v>
      </c>
      <c r="AE22">
        <v>8</v>
      </c>
      <c r="AF22">
        <v>8</v>
      </c>
      <c r="AG22">
        <v>8</v>
      </c>
      <c r="AI22">
        <f>SUM(,$E$22,$H$22,$I$22,$J$22,$K$22,$L$22,$O$22,$P$22,$Q$22,$R$22,$S$22,$V$22,$W$22,$X$22,$Y$22,$Z$22,$AC$22,$AD$22,$AE$22,$AF$22,$AG$22)</f>
        <v>168</v>
      </c>
      <c r="AJ22">
        <f>SUM(,$F$22,$G$22,$M$22,$N$22,$T$22,$U$22,$AA$22,$AB$22,$AH$22)</f>
        <v>0</v>
      </c>
      <c r="AK22">
        <f>SUM(AI22:AJ22) / 8</f>
        <v>21</v>
      </c>
      <c r="AL22">
        <f>(AI22 * 500) + (AJ22 * 500 * 1.5 )</f>
        <v>84000</v>
      </c>
    </row>
    <row r="23" spans="1:38" x14ac:dyDescent="0.25">
      <c r="A23" s="1" t="s">
        <v>63</v>
      </c>
      <c r="B23" s="1" t="s">
        <v>62</v>
      </c>
      <c r="C23" s="1" t="s">
        <v>34</v>
      </c>
      <c r="D23" s="1">
        <v>500</v>
      </c>
      <c r="E23">
        <v>8</v>
      </c>
      <c r="H23">
        <v>8</v>
      </c>
      <c r="I23">
        <v>8</v>
      </c>
      <c r="J23">
        <v>8</v>
      </c>
      <c r="K23">
        <v>8</v>
      </c>
      <c r="L23">
        <v>8</v>
      </c>
      <c r="O23">
        <v>8</v>
      </c>
      <c r="P23">
        <v>8</v>
      </c>
      <c r="Q23">
        <v>8</v>
      </c>
      <c r="R23">
        <v>8</v>
      </c>
      <c r="S23">
        <v>8</v>
      </c>
      <c r="V23">
        <v>8</v>
      </c>
      <c r="W23">
        <v>8</v>
      </c>
      <c r="X23">
        <v>8</v>
      </c>
      <c r="Y23">
        <v>8</v>
      </c>
      <c r="Z23">
        <v>8</v>
      </c>
      <c r="AC23">
        <v>8</v>
      </c>
      <c r="AD23">
        <v>8</v>
      </c>
      <c r="AE23">
        <v>8</v>
      </c>
      <c r="AF23">
        <v>8</v>
      </c>
      <c r="AG23">
        <v>8</v>
      </c>
      <c r="AI23">
        <f>SUM(,$E$23,$H$23,$I$23,$J$23,$K$23,$L$23,$O$23,$P$23,$Q$23,$R$23,$S$23,$V$23,$W$23,$X$23,$Y$23,$Z$23,$AC$23,$AD$23,$AE$23,$AF$23,$AG$23)</f>
        <v>168</v>
      </c>
      <c r="AJ23">
        <f>SUM(,$F$23,$G$23,$M$23,$N$23,$T$23,$U$23,$AA$23,$AB$23,$AH$23)</f>
        <v>0</v>
      </c>
      <c r="AK23">
        <f>SUM(AI23:AJ23) / 8</f>
        <v>21</v>
      </c>
      <c r="AL23">
        <f>(AI23 * 500) + (AJ23 * 500 * 1.5 )</f>
        <v>84000</v>
      </c>
    </row>
    <row r="24" spans="1:38" x14ac:dyDescent="0.25">
      <c r="A24" s="68" t="s">
        <v>64</v>
      </c>
      <c r="B24" s="65"/>
      <c r="C24" s="65"/>
      <c r="D24" s="65"/>
      <c r="AL24">
        <f>SUM(,$AL$25)</f>
        <v>50400</v>
      </c>
    </row>
    <row r="25" spans="1:38" x14ac:dyDescent="0.25">
      <c r="A25" s="1" t="s">
        <v>67</v>
      </c>
      <c r="B25" s="1" t="s">
        <v>66</v>
      </c>
      <c r="C25" s="1" t="s">
        <v>65</v>
      </c>
      <c r="D25" s="1">
        <v>300</v>
      </c>
      <c r="E25">
        <v>8</v>
      </c>
      <c r="H25">
        <v>8</v>
      </c>
      <c r="I25">
        <v>8</v>
      </c>
      <c r="J25">
        <v>8</v>
      </c>
      <c r="K25">
        <v>8</v>
      </c>
      <c r="L25">
        <v>8</v>
      </c>
      <c r="O25">
        <v>8</v>
      </c>
      <c r="P25">
        <v>8</v>
      </c>
      <c r="Q25">
        <v>8</v>
      </c>
      <c r="R25">
        <v>8</v>
      </c>
      <c r="S25">
        <v>8</v>
      </c>
      <c r="V25">
        <v>8</v>
      </c>
      <c r="W25">
        <v>8</v>
      </c>
      <c r="X25">
        <v>8</v>
      </c>
      <c r="Y25">
        <v>8</v>
      </c>
      <c r="Z25">
        <v>8</v>
      </c>
      <c r="AC25">
        <v>8</v>
      </c>
      <c r="AD25">
        <v>8</v>
      </c>
      <c r="AE25">
        <v>8</v>
      </c>
      <c r="AF25">
        <v>8</v>
      </c>
      <c r="AG25">
        <v>8</v>
      </c>
      <c r="AI25">
        <f>SUM(,$E$25,$H$25,$I$25,$J$25,$K$25,$L$25,$O$25,$P$25,$Q$25,$R$25,$S$25,$V$25,$W$25,$X$25,$Y$25,$Z$25,$AC$25,$AD$25,$AE$25,$AF$25,$AG$25)</f>
        <v>168</v>
      </c>
      <c r="AJ25">
        <f>SUM(,$F$25,$G$25,$M$25,$N$25,$T$25,$U$25,$AA$25,$AB$25,$AH$25)</f>
        <v>0</v>
      </c>
      <c r="AK25">
        <f>SUM(AI25:AJ25) / 8</f>
        <v>21</v>
      </c>
      <c r="AL25">
        <f>(AI25 * 300) + (AJ25 * 300 * 1.5 )</f>
        <v>50400</v>
      </c>
    </row>
    <row r="26" spans="1:38" x14ac:dyDescent="0.25">
      <c r="AL26">
        <f>SUM(,$AL$24,$AL$20,$AL$15,$AL$8)</f>
        <v>1444800</v>
      </c>
    </row>
  </sheetData>
  <mergeCells count="9">
    <mergeCell ref="A15:D15"/>
    <mergeCell ref="A20:D20"/>
    <mergeCell ref="A24:D24"/>
    <mergeCell ref="A5:A6"/>
    <mergeCell ref="B5:B6"/>
    <mergeCell ref="C5:C6"/>
    <mergeCell ref="D5:D6"/>
    <mergeCell ref="A7:D7"/>
    <mergeCell ref="A8:D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EFD7-44C3-460E-AEDF-52EFCC002C9C}">
  <sheetPr codeName="Лист2"/>
  <dimension ref="A2:AM32"/>
  <sheetViews>
    <sheetView zoomScale="80" zoomScaleNormal="80" workbookViewId="0">
      <pane ySplit="7" topLeftCell="A8" activePane="bottomLeft" state="frozen"/>
      <selection pane="bottomLeft" activeCell="C8" sqref="C8"/>
    </sheetView>
  </sheetViews>
  <sheetFormatPr defaultRowHeight="15" x14ac:dyDescent="0.25"/>
  <cols>
    <col min="1" max="1" width="8.5703125" customWidth="1"/>
    <col min="2" max="3" width="22.42578125" customWidth="1"/>
    <col min="4" max="4" width="13.28515625" customWidth="1"/>
    <col min="5" max="35" width="6.28515625" customWidth="1"/>
  </cols>
  <sheetData>
    <row r="2" spans="1:39" x14ac:dyDescent="0.25">
      <c r="B2" s="4" t="s">
        <v>36</v>
      </c>
      <c r="C2" s="12" t="s">
        <v>40</v>
      </c>
    </row>
    <row r="3" spans="1:39" x14ac:dyDescent="0.25">
      <c r="B3" s="4" t="s">
        <v>37</v>
      </c>
      <c r="C3" s="13">
        <v>2023</v>
      </c>
    </row>
    <row r="4" spans="1:39" x14ac:dyDescent="0.25">
      <c r="E4" s="24" t="s">
        <v>48</v>
      </c>
      <c r="F4" s="24" t="s">
        <v>48</v>
      </c>
      <c r="G4" s="24" t="s">
        <v>48</v>
      </c>
      <c r="H4" s="24" t="s">
        <v>48</v>
      </c>
      <c r="I4" s="24" t="s">
        <v>48</v>
      </c>
      <c r="J4" s="24" t="s">
        <v>48</v>
      </c>
      <c r="K4" s="24" t="s">
        <v>48</v>
      </c>
      <c r="L4" s="24" t="s">
        <v>48</v>
      </c>
      <c r="M4" s="24" t="s">
        <v>48</v>
      </c>
      <c r="N4" s="24"/>
      <c r="O4" s="24"/>
      <c r="P4" s="24" t="s">
        <v>49</v>
      </c>
      <c r="Q4" s="24" t="s">
        <v>49</v>
      </c>
      <c r="R4" s="24"/>
      <c r="S4" s="24"/>
      <c r="T4" s="24"/>
      <c r="U4" s="24"/>
      <c r="V4" s="24"/>
      <c r="W4" s="24" t="s">
        <v>49</v>
      </c>
      <c r="X4" s="24" t="s">
        <v>49</v>
      </c>
      <c r="Y4" s="24"/>
      <c r="Z4" s="24"/>
      <c r="AA4" s="24"/>
      <c r="AB4" s="24"/>
      <c r="AC4" s="24"/>
      <c r="AD4" s="24" t="s">
        <v>49</v>
      </c>
      <c r="AE4" s="24" t="s">
        <v>49</v>
      </c>
      <c r="AF4" s="24"/>
      <c r="AG4" s="24"/>
      <c r="AH4" s="24"/>
      <c r="AI4" s="24"/>
    </row>
    <row r="5" spans="1:39" ht="15" customHeight="1" x14ac:dyDescent="0.25">
      <c r="A5" s="56" t="s">
        <v>1</v>
      </c>
      <c r="B5" s="56" t="s">
        <v>0</v>
      </c>
      <c r="C5" s="56" t="s">
        <v>3</v>
      </c>
      <c r="D5" s="56" t="s">
        <v>4</v>
      </c>
      <c r="E5" s="2" t="s">
        <v>41</v>
      </c>
      <c r="F5" s="2" t="s">
        <v>42</v>
      </c>
      <c r="G5" s="2" t="s">
        <v>43</v>
      </c>
      <c r="H5" s="2" t="s">
        <v>44</v>
      </c>
      <c r="I5" s="2" t="s">
        <v>45</v>
      </c>
      <c r="J5" s="2" t="s">
        <v>46</v>
      </c>
      <c r="K5" s="2" t="s">
        <v>47</v>
      </c>
      <c r="L5" s="2" t="s">
        <v>41</v>
      </c>
      <c r="M5" s="2" t="s">
        <v>42</v>
      </c>
      <c r="N5" s="1" t="s">
        <v>43</v>
      </c>
      <c r="O5" s="1" t="s">
        <v>44</v>
      </c>
      <c r="P5" s="2" t="s">
        <v>45</v>
      </c>
      <c r="Q5" s="2" t="s">
        <v>46</v>
      </c>
      <c r="R5" s="1" t="s">
        <v>47</v>
      </c>
      <c r="S5" s="1" t="s">
        <v>41</v>
      </c>
      <c r="T5" s="1" t="s">
        <v>42</v>
      </c>
      <c r="U5" s="1" t="s">
        <v>43</v>
      </c>
      <c r="V5" s="1" t="s">
        <v>44</v>
      </c>
      <c r="W5" s="2" t="s">
        <v>45</v>
      </c>
      <c r="X5" s="2" t="s">
        <v>46</v>
      </c>
      <c r="Y5" s="1" t="s">
        <v>47</v>
      </c>
      <c r="Z5" s="1" t="s">
        <v>41</v>
      </c>
      <c r="AA5" s="1" t="s">
        <v>42</v>
      </c>
      <c r="AB5" s="1" t="s">
        <v>43</v>
      </c>
      <c r="AC5" s="1" t="s">
        <v>44</v>
      </c>
      <c r="AD5" s="2" t="s">
        <v>45</v>
      </c>
      <c r="AE5" s="2" t="s">
        <v>46</v>
      </c>
      <c r="AF5" s="1" t="s">
        <v>47</v>
      </c>
      <c r="AG5" s="1" t="s">
        <v>41</v>
      </c>
      <c r="AH5" s="1" t="s">
        <v>42</v>
      </c>
      <c r="AI5" s="1" t="s">
        <v>43</v>
      </c>
      <c r="AJ5" s="57" t="s">
        <v>56</v>
      </c>
      <c r="AK5" s="57" t="s">
        <v>57</v>
      </c>
      <c r="AL5" s="57" t="s">
        <v>50</v>
      </c>
      <c r="AM5" s="59" t="s">
        <v>51</v>
      </c>
    </row>
    <row r="6" spans="1:39" x14ac:dyDescent="0.25">
      <c r="A6" s="56"/>
      <c r="B6" s="56"/>
      <c r="C6" s="56"/>
      <c r="D6" s="56"/>
      <c r="E6" s="3">
        <v>1</v>
      </c>
      <c r="F6" s="3">
        <v>2</v>
      </c>
      <c r="G6" s="3">
        <v>3</v>
      </c>
      <c r="H6" s="3">
        <v>4</v>
      </c>
      <c r="I6" s="3">
        <v>5</v>
      </c>
      <c r="J6" s="3">
        <v>6</v>
      </c>
      <c r="K6" s="3">
        <v>7</v>
      </c>
      <c r="L6" s="3">
        <v>8</v>
      </c>
      <c r="M6" s="3">
        <v>9</v>
      </c>
      <c r="N6" s="14">
        <v>10</v>
      </c>
      <c r="O6" s="14">
        <v>11</v>
      </c>
      <c r="P6" s="3">
        <v>12</v>
      </c>
      <c r="Q6" s="3">
        <v>13</v>
      </c>
      <c r="R6" s="14">
        <v>14</v>
      </c>
      <c r="S6" s="14">
        <v>15</v>
      </c>
      <c r="T6" s="14">
        <v>16</v>
      </c>
      <c r="U6" s="14">
        <v>17</v>
      </c>
      <c r="V6" s="14">
        <v>18</v>
      </c>
      <c r="W6" s="3">
        <v>19</v>
      </c>
      <c r="X6" s="3">
        <v>20</v>
      </c>
      <c r="Y6" s="14">
        <v>21</v>
      </c>
      <c r="Z6" s="14">
        <v>22</v>
      </c>
      <c r="AA6" s="14">
        <v>23</v>
      </c>
      <c r="AB6" s="14">
        <v>24</v>
      </c>
      <c r="AC6" s="14">
        <v>25</v>
      </c>
      <c r="AD6" s="3">
        <v>26</v>
      </c>
      <c r="AE6" s="3">
        <v>27</v>
      </c>
      <c r="AF6" s="14">
        <v>28</v>
      </c>
      <c r="AG6" s="14">
        <v>29</v>
      </c>
      <c r="AH6" s="14">
        <v>30</v>
      </c>
      <c r="AI6" s="14">
        <v>31</v>
      </c>
      <c r="AJ6" s="58"/>
      <c r="AK6" s="58"/>
      <c r="AL6" s="58"/>
      <c r="AM6" s="60"/>
    </row>
    <row r="7" spans="1:39" x14ac:dyDescent="0.25">
      <c r="A7" s="11" t="s">
        <v>39</v>
      </c>
      <c r="B7" s="10"/>
      <c r="C7" s="10"/>
      <c r="D7" s="25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8"/>
      <c r="AJ7" s="47"/>
      <c r="AK7" s="50"/>
      <c r="AL7" s="48"/>
      <c r="AM7" s="49"/>
    </row>
    <row r="8" spans="1:39" x14ac:dyDescent="0.25">
      <c r="A8" s="8" t="s">
        <v>29</v>
      </c>
      <c r="B8" s="7"/>
      <c r="C8" s="7"/>
      <c r="D8" s="15"/>
      <c r="E8" s="29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38"/>
      <c r="AJ8" s="44"/>
      <c r="AK8" s="51"/>
      <c r="AL8" s="45"/>
      <c r="AM8" s="46"/>
    </row>
    <row r="9" spans="1:39" x14ac:dyDescent="0.25">
      <c r="A9" s="1" t="s">
        <v>5</v>
      </c>
      <c r="B9" s="1" t="s">
        <v>11</v>
      </c>
      <c r="C9" s="1" t="s">
        <v>31</v>
      </c>
      <c r="D9" s="16">
        <v>1000</v>
      </c>
      <c r="E9" s="31"/>
      <c r="F9" s="18"/>
      <c r="G9" s="18"/>
      <c r="H9" s="18"/>
      <c r="I9" s="18"/>
      <c r="J9" s="18"/>
      <c r="K9" s="18"/>
      <c r="L9" s="18"/>
      <c r="M9" s="18"/>
      <c r="N9" s="19"/>
      <c r="O9" s="19"/>
      <c r="P9" s="18"/>
      <c r="Q9" s="18"/>
      <c r="R9" s="19"/>
      <c r="S9" s="19"/>
      <c r="T9" s="19"/>
      <c r="U9" s="19"/>
      <c r="V9" s="19"/>
      <c r="W9" s="18"/>
      <c r="X9" s="18"/>
      <c r="Y9" s="19"/>
      <c r="Z9" s="19"/>
      <c r="AA9" s="19"/>
      <c r="AB9" s="19"/>
      <c r="AC9" s="19"/>
      <c r="AD9" s="18"/>
      <c r="AE9" s="18"/>
      <c r="AF9" s="19"/>
      <c r="AG9" s="19"/>
      <c r="AH9" s="19"/>
      <c r="AI9" s="39"/>
      <c r="AJ9" s="42"/>
      <c r="AK9" s="41"/>
      <c r="AL9" s="19"/>
      <c r="AM9" s="32"/>
    </row>
    <row r="10" spans="1:39" x14ac:dyDescent="0.25">
      <c r="A10" s="1" t="s">
        <v>6</v>
      </c>
      <c r="B10" s="1" t="s">
        <v>12</v>
      </c>
      <c r="C10" s="1" t="s">
        <v>32</v>
      </c>
      <c r="D10" s="16">
        <v>600</v>
      </c>
      <c r="E10" s="31"/>
      <c r="F10" s="18"/>
      <c r="G10" s="18"/>
      <c r="H10" s="18"/>
      <c r="I10" s="18"/>
      <c r="J10" s="18"/>
      <c r="K10" s="18"/>
      <c r="L10" s="18"/>
      <c r="M10" s="18"/>
      <c r="N10" s="19"/>
      <c r="O10" s="19"/>
      <c r="P10" s="18"/>
      <c r="Q10" s="18"/>
      <c r="R10" s="19"/>
      <c r="S10" s="19"/>
      <c r="T10" s="19"/>
      <c r="U10" s="19"/>
      <c r="V10" s="19"/>
      <c r="W10" s="18"/>
      <c r="X10" s="18"/>
      <c r="Y10" s="19"/>
      <c r="Z10" s="19"/>
      <c r="AA10" s="19"/>
      <c r="AB10" s="19"/>
      <c r="AC10" s="19"/>
      <c r="AD10" s="18"/>
      <c r="AE10" s="18"/>
      <c r="AF10" s="19"/>
      <c r="AG10" s="19"/>
      <c r="AH10" s="19"/>
      <c r="AI10" s="39"/>
      <c r="AJ10" s="42"/>
      <c r="AK10" s="41"/>
      <c r="AL10" s="19"/>
      <c r="AM10" s="32"/>
    </row>
    <row r="11" spans="1:39" x14ac:dyDescent="0.25">
      <c r="A11" s="1" t="s">
        <v>7</v>
      </c>
      <c r="B11" s="1" t="s">
        <v>13</v>
      </c>
      <c r="C11" s="1" t="s">
        <v>32</v>
      </c>
      <c r="D11" s="16">
        <v>600</v>
      </c>
      <c r="E11" s="31"/>
      <c r="F11" s="18"/>
      <c r="G11" s="18"/>
      <c r="H11" s="18"/>
      <c r="I11" s="18"/>
      <c r="J11" s="18"/>
      <c r="K11" s="18"/>
      <c r="L11" s="18"/>
      <c r="M11" s="18"/>
      <c r="N11" s="19"/>
      <c r="O11" s="19"/>
      <c r="P11" s="18"/>
      <c r="Q11" s="18"/>
      <c r="R11" s="19"/>
      <c r="S11" s="19"/>
      <c r="T11" s="19"/>
      <c r="U11" s="19"/>
      <c r="V11" s="19"/>
      <c r="W11" s="18"/>
      <c r="X11" s="18"/>
      <c r="Y11" s="19"/>
      <c r="Z11" s="19"/>
      <c r="AA11" s="19"/>
      <c r="AB11" s="19"/>
      <c r="AC11" s="19"/>
      <c r="AD11" s="18"/>
      <c r="AE11" s="18"/>
      <c r="AF11" s="19"/>
      <c r="AG11" s="19"/>
      <c r="AH11" s="19"/>
      <c r="AI11" s="39"/>
      <c r="AJ11" s="42"/>
      <c r="AK11" s="41"/>
      <c r="AL11" s="19"/>
      <c r="AM11" s="32"/>
    </row>
    <row r="12" spans="1:39" x14ac:dyDescent="0.25">
      <c r="A12" s="1" t="s">
        <v>8</v>
      </c>
      <c r="B12" s="1" t="s">
        <v>14</v>
      </c>
      <c r="C12" s="1" t="s">
        <v>33</v>
      </c>
      <c r="D12" s="16">
        <v>700</v>
      </c>
      <c r="E12" s="31"/>
      <c r="F12" s="18"/>
      <c r="G12" s="18"/>
      <c r="H12" s="18"/>
      <c r="I12" s="18"/>
      <c r="J12" s="18"/>
      <c r="K12" s="18"/>
      <c r="L12" s="18"/>
      <c r="M12" s="18"/>
      <c r="N12" s="19"/>
      <c r="O12" s="19"/>
      <c r="P12" s="18"/>
      <c r="Q12" s="18"/>
      <c r="R12" s="19"/>
      <c r="S12" s="19"/>
      <c r="T12" s="19"/>
      <c r="U12" s="19"/>
      <c r="V12" s="19"/>
      <c r="W12" s="18"/>
      <c r="X12" s="18"/>
      <c r="Y12" s="19"/>
      <c r="Z12" s="19"/>
      <c r="AA12" s="19"/>
      <c r="AB12" s="19"/>
      <c r="AC12" s="19"/>
      <c r="AD12" s="18"/>
      <c r="AE12" s="18"/>
      <c r="AF12" s="19"/>
      <c r="AG12" s="19"/>
      <c r="AH12" s="19"/>
      <c r="AI12" s="39"/>
      <c r="AJ12" s="42"/>
      <c r="AK12" s="41"/>
      <c r="AL12" s="19"/>
      <c r="AM12" s="32"/>
    </row>
    <row r="13" spans="1:39" x14ac:dyDescent="0.25">
      <c r="A13" s="1" t="s">
        <v>9</v>
      </c>
      <c r="B13" s="1" t="s">
        <v>15</v>
      </c>
      <c r="C13" s="1" t="s">
        <v>34</v>
      </c>
      <c r="D13" s="16">
        <v>500</v>
      </c>
      <c r="E13" s="31"/>
      <c r="F13" s="18"/>
      <c r="G13" s="18"/>
      <c r="H13" s="18"/>
      <c r="I13" s="18"/>
      <c r="J13" s="18"/>
      <c r="K13" s="18"/>
      <c r="L13" s="18"/>
      <c r="M13" s="18"/>
      <c r="N13" s="19"/>
      <c r="O13" s="19"/>
      <c r="P13" s="18"/>
      <c r="Q13" s="18"/>
      <c r="R13" s="19"/>
      <c r="S13" s="19"/>
      <c r="T13" s="19"/>
      <c r="U13" s="19"/>
      <c r="V13" s="19"/>
      <c r="W13" s="18"/>
      <c r="X13" s="18"/>
      <c r="Y13" s="19"/>
      <c r="Z13" s="19"/>
      <c r="AA13" s="19"/>
      <c r="AB13" s="19"/>
      <c r="AC13" s="19"/>
      <c r="AD13" s="18"/>
      <c r="AE13" s="18"/>
      <c r="AF13" s="19"/>
      <c r="AG13" s="19"/>
      <c r="AH13" s="19"/>
      <c r="AI13" s="39"/>
      <c r="AJ13" s="42"/>
      <c r="AK13" s="41"/>
      <c r="AL13" s="19"/>
      <c r="AM13" s="32"/>
    </row>
    <row r="14" spans="1:39" x14ac:dyDescent="0.25">
      <c r="A14" s="1" t="s">
        <v>10</v>
      </c>
      <c r="B14" s="1" t="s">
        <v>16</v>
      </c>
      <c r="C14" s="1" t="s">
        <v>35</v>
      </c>
      <c r="D14" s="16">
        <v>400</v>
      </c>
      <c r="E14" s="31"/>
      <c r="F14" s="18"/>
      <c r="G14" s="18"/>
      <c r="H14" s="18"/>
      <c r="I14" s="18"/>
      <c r="J14" s="18"/>
      <c r="K14" s="18"/>
      <c r="L14" s="18"/>
      <c r="M14" s="18"/>
      <c r="N14" s="19"/>
      <c r="O14" s="19"/>
      <c r="P14" s="18"/>
      <c r="Q14" s="18"/>
      <c r="R14" s="19"/>
      <c r="S14" s="19"/>
      <c r="T14" s="19"/>
      <c r="U14" s="19"/>
      <c r="V14" s="19"/>
      <c r="W14" s="18"/>
      <c r="X14" s="18"/>
      <c r="Y14" s="19"/>
      <c r="Z14" s="19"/>
      <c r="AA14" s="19"/>
      <c r="AB14" s="19"/>
      <c r="AC14" s="19"/>
      <c r="AD14" s="18"/>
      <c r="AE14" s="18"/>
      <c r="AF14" s="19"/>
      <c r="AG14" s="19"/>
      <c r="AH14" s="19"/>
      <c r="AI14" s="39"/>
      <c r="AJ14" s="42"/>
      <c r="AK14" s="41"/>
      <c r="AL14" s="19"/>
      <c r="AM14" s="32"/>
    </row>
    <row r="15" spans="1:39" x14ac:dyDescent="0.25">
      <c r="A15" s="9" t="s">
        <v>30</v>
      </c>
      <c r="B15" s="9"/>
      <c r="C15" s="9"/>
      <c r="D15" s="17"/>
      <c r="E15" s="29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38"/>
      <c r="AJ15" s="29"/>
      <c r="AK15" s="52"/>
      <c r="AL15" s="23"/>
      <c r="AM15" s="30"/>
    </row>
    <row r="16" spans="1:39" x14ac:dyDescent="0.25">
      <c r="A16" s="1" t="s">
        <v>17</v>
      </c>
      <c r="B16" s="1" t="s">
        <v>23</v>
      </c>
      <c r="C16" s="1" t="s">
        <v>31</v>
      </c>
      <c r="D16" s="16">
        <v>1000</v>
      </c>
      <c r="E16" s="31"/>
      <c r="F16" s="18"/>
      <c r="G16" s="18"/>
      <c r="H16" s="18"/>
      <c r="I16" s="18"/>
      <c r="J16" s="18"/>
      <c r="K16" s="18"/>
      <c r="L16" s="18"/>
      <c r="M16" s="18"/>
      <c r="N16" s="19"/>
      <c r="O16" s="19"/>
      <c r="P16" s="18"/>
      <c r="Q16" s="18"/>
      <c r="R16" s="19"/>
      <c r="S16" s="19"/>
      <c r="T16" s="19"/>
      <c r="U16" s="19"/>
      <c r="V16" s="19"/>
      <c r="W16" s="18"/>
      <c r="X16" s="18"/>
      <c r="Y16" s="19"/>
      <c r="Z16" s="19"/>
      <c r="AA16" s="19"/>
      <c r="AB16" s="19"/>
      <c r="AC16" s="19"/>
      <c r="AD16" s="18"/>
      <c r="AE16" s="18"/>
      <c r="AF16" s="19"/>
      <c r="AG16" s="19"/>
      <c r="AH16" s="19"/>
      <c r="AI16" s="39"/>
      <c r="AJ16" s="42"/>
      <c r="AK16" s="41"/>
      <c r="AL16" s="19"/>
      <c r="AM16" s="32"/>
    </row>
    <row r="17" spans="1:39" x14ac:dyDescent="0.25">
      <c r="A17" s="1" t="s">
        <v>18</v>
      </c>
      <c r="B17" s="1" t="s">
        <v>24</v>
      </c>
      <c r="C17" s="1" t="s">
        <v>32</v>
      </c>
      <c r="D17" s="16">
        <v>600</v>
      </c>
      <c r="E17" s="31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8"/>
      <c r="Q17" s="18"/>
      <c r="R17" s="19"/>
      <c r="S17" s="19"/>
      <c r="T17" s="19"/>
      <c r="U17" s="19"/>
      <c r="V17" s="19"/>
      <c r="W17" s="18"/>
      <c r="X17" s="18"/>
      <c r="Y17" s="19"/>
      <c r="Z17" s="19"/>
      <c r="AA17" s="19"/>
      <c r="AB17" s="19"/>
      <c r="AC17" s="19"/>
      <c r="AD17" s="18"/>
      <c r="AE17" s="18"/>
      <c r="AF17" s="19"/>
      <c r="AG17" s="19"/>
      <c r="AH17" s="19"/>
      <c r="AI17" s="39"/>
      <c r="AJ17" s="42"/>
      <c r="AK17" s="41"/>
      <c r="AL17" s="19"/>
      <c r="AM17" s="32"/>
    </row>
    <row r="18" spans="1:39" x14ac:dyDescent="0.25">
      <c r="A18" s="1" t="s">
        <v>19</v>
      </c>
      <c r="B18" s="1" t="s">
        <v>25</v>
      </c>
      <c r="C18" s="1" t="s">
        <v>32</v>
      </c>
      <c r="D18" s="16">
        <v>600</v>
      </c>
      <c r="E18" s="31"/>
      <c r="F18" s="18"/>
      <c r="G18" s="18"/>
      <c r="H18" s="18"/>
      <c r="I18" s="18"/>
      <c r="J18" s="18"/>
      <c r="K18" s="18"/>
      <c r="L18" s="18"/>
      <c r="M18" s="18"/>
      <c r="N18" s="19"/>
      <c r="O18" s="19"/>
      <c r="P18" s="18"/>
      <c r="Q18" s="18"/>
      <c r="R18" s="19"/>
      <c r="S18" s="19"/>
      <c r="T18" s="19"/>
      <c r="U18" s="19"/>
      <c r="V18" s="19"/>
      <c r="W18" s="18"/>
      <c r="X18" s="18"/>
      <c r="Y18" s="19"/>
      <c r="Z18" s="19"/>
      <c r="AA18" s="19"/>
      <c r="AB18" s="19"/>
      <c r="AC18" s="19"/>
      <c r="AD18" s="18"/>
      <c r="AE18" s="18"/>
      <c r="AF18" s="19"/>
      <c r="AG18" s="19"/>
      <c r="AH18" s="19"/>
      <c r="AI18" s="39"/>
      <c r="AJ18" s="42"/>
      <c r="AK18" s="41"/>
      <c r="AL18" s="19"/>
      <c r="AM18" s="32"/>
    </row>
    <row r="19" spans="1:39" x14ac:dyDescent="0.25">
      <c r="A19" s="1" t="s">
        <v>20</v>
      </c>
      <c r="B19" s="1" t="s">
        <v>26</v>
      </c>
      <c r="C19" s="1" t="s">
        <v>32</v>
      </c>
      <c r="D19" s="16">
        <v>600</v>
      </c>
      <c r="E19" s="31"/>
      <c r="F19" s="18"/>
      <c r="G19" s="18"/>
      <c r="H19" s="18"/>
      <c r="I19" s="18"/>
      <c r="J19" s="18"/>
      <c r="K19" s="18"/>
      <c r="L19" s="18"/>
      <c r="M19" s="18"/>
      <c r="N19" s="19"/>
      <c r="O19" s="19"/>
      <c r="P19" s="18"/>
      <c r="Q19" s="18"/>
      <c r="R19" s="19"/>
      <c r="S19" s="19"/>
      <c r="T19" s="19"/>
      <c r="U19" s="19"/>
      <c r="V19" s="19"/>
      <c r="W19" s="18"/>
      <c r="X19" s="18"/>
      <c r="Y19" s="19"/>
      <c r="Z19" s="19"/>
      <c r="AA19" s="19"/>
      <c r="AB19" s="19"/>
      <c r="AC19" s="19"/>
      <c r="AD19" s="18"/>
      <c r="AE19" s="18"/>
      <c r="AF19" s="19"/>
      <c r="AG19" s="19"/>
      <c r="AH19" s="19"/>
      <c r="AI19" s="39"/>
      <c r="AJ19" s="42"/>
      <c r="AK19" s="41"/>
      <c r="AL19" s="19"/>
      <c r="AM19" s="32"/>
    </row>
    <row r="20" spans="1:39" x14ac:dyDescent="0.25">
      <c r="A20" s="1" t="s">
        <v>21</v>
      </c>
      <c r="B20" s="1" t="s">
        <v>27</v>
      </c>
      <c r="C20" s="1" t="s">
        <v>33</v>
      </c>
      <c r="D20" s="16">
        <v>700</v>
      </c>
      <c r="E20" s="31"/>
      <c r="F20" s="18"/>
      <c r="G20" s="18"/>
      <c r="H20" s="18"/>
      <c r="I20" s="18"/>
      <c r="J20" s="18"/>
      <c r="K20" s="18"/>
      <c r="L20" s="18"/>
      <c r="M20" s="18"/>
      <c r="N20" s="19"/>
      <c r="O20" s="19"/>
      <c r="P20" s="18"/>
      <c r="Q20" s="18"/>
      <c r="R20" s="19"/>
      <c r="S20" s="19"/>
      <c r="T20" s="19"/>
      <c r="U20" s="19"/>
      <c r="V20" s="19"/>
      <c r="W20" s="18"/>
      <c r="X20" s="18"/>
      <c r="Y20" s="19"/>
      <c r="Z20" s="19"/>
      <c r="AA20" s="19"/>
      <c r="AB20" s="19"/>
      <c r="AC20" s="19"/>
      <c r="AD20" s="18"/>
      <c r="AE20" s="18"/>
      <c r="AF20" s="19"/>
      <c r="AG20" s="19"/>
      <c r="AH20" s="19"/>
      <c r="AI20" s="39"/>
      <c r="AJ20" s="42"/>
      <c r="AK20" s="41"/>
      <c r="AL20" s="19"/>
      <c r="AM20" s="32"/>
    </row>
    <row r="21" spans="1:39" x14ac:dyDescent="0.25">
      <c r="A21" s="1" t="s">
        <v>22</v>
      </c>
      <c r="B21" s="1" t="s">
        <v>28</v>
      </c>
      <c r="C21" s="1" t="s">
        <v>34</v>
      </c>
      <c r="D21" s="16">
        <v>500</v>
      </c>
      <c r="E21" s="33"/>
      <c r="F21" s="34"/>
      <c r="G21" s="34"/>
      <c r="H21" s="34"/>
      <c r="I21" s="34"/>
      <c r="J21" s="34"/>
      <c r="K21" s="34"/>
      <c r="L21" s="34"/>
      <c r="M21" s="34"/>
      <c r="N21" s="35"/>
      <c r="O21" s="35"/>
      <c r="P21" s="34"/>
      <c r="Q21" s="34"/>
      <c r="R21" s="35"/>
      <c r="S21" s="35"/>
      <c r="T21" s="35"/>
      <c r="U21" s="35"/>
      <c r="V21" s="35"/>
      <c r="W21" s="34"/>
      <c r="X21" s="34"/>
      <c r="Y21" s="35"/>
      <c r="Z21" s="35"/>
      <c r="AA21" s="35"/>
      <c r="AB21" s="35"/>
      <c r="AC21" s="35"/>
      <c r="AD21" s="34"/>
      <c r="AE21" s="34"/>
      <c r="AF21" s="35"/>
      <c r="AG21" s="35"/>
      <c r="AH21" s="35"/>
      <c r="AI21" s="40"/>
      <c r="AJ21" s="43"/>
      <c r="AK21" s="53"/>
      <c r="AL21" s="35"/>
      <c r="AM21" s="36"/>
    </row>
    <row r="22" spans="1:39" x14ac:dyDescent="0.25">
      <c r="E22" s="20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2"/>
      <c r="AL22" s="37"/>
    </row>
    <row r="32" spans="1:39" x14ac:dyDescent="0.25">
      <c r="AE32" s="37"/>
    </row>
  </sheetData>
  <mergeCells count="8">
    <mergeCell ref="AJ5:AJ6"/>
    <mergeCell ref="AL5:AL6"/>
    <mergeCell ref="AM5:AM6"/>
    <mergeCell ref="AK5:AK6"/>
    <mergeCell ref="A5:A6"/>
    <mergeCell ref="B5:B6"/>
    <mergeCell ref="C5:C6"/>
    <mergeCell ref="D5:D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штат</vt:lpstr>
      <vt:lpstr>сентябрь 2023</vt:lpstr>
      <vt:lpstr>январь 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2023-09-29T11:55:19Z</dcterms:modified>
</cp:coreProperties>
</file>